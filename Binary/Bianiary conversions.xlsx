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/>
  <mc:AlternateContent xmlns:mc="http://schemas.openxmlformats.org/markup-compatibility/2006">
    <mc:Choice Requires="x15">
      <x15ac:absPath xmlns:x15ac="http://schemas.microsoft.com/office/spreadsheetml/2010/11/ac" url="/Users/Danimo/Desktop/Bachelor i informasjonsteknologi cybersikkerhet/TK1104  Digital teknologi/Binary/"/>
    </mc:Choice>
  </mc:AlternateContent>
  <xr:revisionPtr revIDLastSave="0" documentId="13_ncr:1_{10231054-7B6A-7C42-8196-2EF0E12A7032}" xr6:coauthVersionLast="47" xr6:coauthVersionMax="47" xr10:uidLastSave="{00000000-0000-0000-0000-000000000000}"/>
  <bookViews>
    <workbookView xWindow="0" yWindow="500" windowWidth="28800" windowHeight="12580" xr2:uid="{00000000-000D-0000-FFFF-FFFF00000000}"/>
  </bookViews>
  <sheets>
    <sheet name="Bianiary Convers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5" i="1" l="1"/>
  <c r="K14" i="1"/>
  <c r="J15" i="1" s="1"/>
  <c r="D12" i="1"/>
  <c r="K5" i="1"/>
  <c r="K8" i="1" s="1"/>
  <c r="J5" i="1"/>
  <c r="J8" i="1" s="1"/>
  <c r="I5" i="1"/>
  <c r="I8" i="1" s="1"/>
  <c r="H5" i="1"/>
  <c r="H8" i="1" s="1"/>
  <c r="G5" i="1"/>
  <c r="G8" i="1" s="1"/>
  <c r="F5" i="1"/>
  <c r="F8" i="1" s="1"/>
  <c r="E5" i="1"/>
  <c r="E8" i="1" s="1"/>
  <c r="D5" i="1"/>
  <c r="D8" i="1" s="1"/>
  <c r="J14" i="1" l="1"/>
  <c r="I15" i="1" s="1"/>
  <c r="B8" i="1"/>
  <c r="I14" i="1" l="1"/>
  <c r="H14" i="1" s="1"/>
  <c r="H15" i="1"/>
  <c r="G15" i="1" l="1"/>
  <c r="G14" i="1"/>
  <c r="F15" i="1" l="1"/>
  <c r="F14" i="1"/>
  <c r="E15" i="1" l="1"/>
  <c r="E14" i="1"/>
  <c r="D15" i="1" l="1"/>
  <c r="D14" i="1"/>
</calcChain>
</file>

<file path=xl/sharedStrings.xml><?xml version="1.0" encoding="utf-8"?>
<sst xmlns="http://schemas.openxmlformats.org/spreadsheetml/2006/main" count="9" uniqueCount="9">
  <si>
    <t>Conversion</t>
  </si>
  <si>
    <t>Result</t>
  </si>
  <si>
    <t>Convert Bianiary to Digital</t>
  </si>
  <si>
    <t>Set In Bianary Nbr:</t>
  </si>
  <si>
    <t>Equals:</t>
  </si>
  <si>
    <t>Set in Digital:</t>
  </si>
  <si>
    <t>Equal Bianiary:</t>
  </si>
  <si>
    <t>Set in Digital</t>
  </si>
  <si>
    <t>Equal Bianary: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</si>
</sst>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B15" sqref="B15"/>
    </sheetView>
  </sheetViews>
  <sheetFormatPr baseColWidth="10" defaultColWidth="8.83203125" defaultRowHeight="15" x14ac:dyDescent="0.2"/>
  <cols>
    <col min="1" max="1" width="26.5" customWidth="1"/>
    <col min="3" max="3" width="3.83203125" customWidth="1"/>
    <col min="4" max="4" width="10.83203125" customWidth="1"/>
  </cols>
  <sheetData>
    <row r="1" spans="1:11" x14ac:dyDescent="0.2">
      <c r="A1" s="1" t="s">
        <v>0</v>
      </c>
      <c r="B1" s="2" t="s">
        <v>1</v>
      </c>
      <c r="C1" s="2"/>
    </row>
    <row r="3" spans="1:11" x14ac:dyDescent="0.2">
      <c r="A3" s="1"/>
    </row>
    <row r="4" spans="1:11" x14ac:dyDescent="0.2">
      <c r="A4" s="1"/>
    </row>
    <row r="5" spans="1:11" x14ac:dyDescent="0.2">
      <c r="A5" s="1" t="s">
        <v>2</v>
      </c>
      <c r="D5" s="1">
        <f>2^7</f>
        <v>128</v>
      </c>
      <c r="E5" s="1">
        <f>2^6</f>
        <v>64</v>
      </c>
      <c r="F5" s="1">
        <f>2^5</f>
        <v>32</v>
      </c>
      <c r="G5" s="1">
        <f>2^4</f>
        <v>16</v>
      </c>
      <c r="H5" s="1">
        <f>2^3</f>
        <v>8</v>
      </c>
      <c r="I5" s="1">
        <f>2^2</f>
        <v>4</v>
      </c>
      <c r="J5" s="1">
        <f>2^1</f>
        <v>2</v>
      </c>
      <c r="K5" s="1">
        <f>2^0</f>
        <v>1</v>
      </c>
    </row>
    <row r="6" spans="1:11" x14ac:dyDescent="0.2">
      <c r="A6" s="1"/>
    </row>
    <row r="7" spans="1:11" x14ac:dyDescent="0.2">
      <c r="A7" s="1" t="s">
        <v>3</v>
      </c>
      <c r="D7" s="3">
        <v>1</v>
      </c>
      <c r="E7" s="3">
        <v>0</v>
      </c>
      <c r="F7" s="3">
        <v>0</v>
      </c>
      <c r="G7" s="3">
        <v>1</v>
      </c>
      <c r="H7" s="3">
        <v>0</v>
      </c>
      <c r="I7" s="3">
        <v>1</v>
      </c>
      <c r="J7" s="3">
        <v>0</v>
      </c>
      <c r="K7" s="3">
        <v>1</v>
      </c>
    </row>
    <row r="8" spans="1:11" x14ac:dyDescent="0.2">
      <c r="A8" s="1" t="s">
        <v>4</v>
      </c>
      <c r="B8">
        <f>SUM(D8:K8)</f>
        <v>149</v>
      </c>
      <c r="D8">
        <f t="shared" ref="D8:G8" si="0">D5*D7</f>
        <v>128</v>
      </c>
      <c r="E8">
        <f t="shared" si="0"/>
        <v>0</v>
      </c>
      <c r="F8">
        <f t="shared" si="0"/>
        <v>0</v>
      </c>
      <c r="G8">
        <f t="shared" si="0"/>
        <v>16</v>
      </c>
      <c r="H8">
        <f>H5*H7</f>
        <v>0</v>
      </c>
      <c r="I8">
        <f t="shared" ref="I8:K8" si="1">I5*I7</f>
        <v>4</v>
      </c>
      <c r="J8">
        <f t="shared" si="1"/>
        <v>0</v>
      </c>
      <c r="K8">
        <f t="shared" si="1"/>
        <v>1</v>
      </c>
    </row>
    <row r="9" spans="1:11" x14ac:dyDescent="0.2">
      <c r="A9" s="1"/>
    </row>
    <row r="10" spans="1:11" x14ac:dyDescent="0.2">
      <c r="A10" s="1"/>
      <c r="D10" s="3"/>
      <c r="E10" s="3"/>
      <c r="F10" s="3"/>
      <c r="G10" s="3"/>
      <c r="H10" s="3"/>
      <c r="I10" s="3"/>
      <c r="J10" s="3"/>
      <c r="K10" s="3"/>
    </row>
    <row r="11" spans="1:11" x14ac:dyDescent="0.2">
      <c r="A11" s="1" t="s">
        <v>5</v>
      </c>
      <c r="B11" s="3">
        <v>149</v>
      </c>
    </row>
    <row r="12" spans="1:11" x14ac:dyDescent="0.2">
      <c r="A12" s="1" t="s">
        <v>6</v>
      </c>
      <c r="D12" t="str">
        <f>DEC2BIN(B11)</f>
        <v>10010101</v>
      </c>
    </row>
    <row r="14" spans="1:11" x14ac:dyDescent="0.2">
      <c r="A14" s="1" t="s">
        <v>7</v>
      </c>
      <c r="B14" s="3">
        <v>495</v>
      </c>
      <c r="D14">
        <f t="shared" ref="D14:J14" si="2">INT(E14/2)</f>
        <v>1</v>
      </c>
      <c r="E14">
        <f t="shared" si="2"/>
        <v>3</v>
      </c>
      <c r="F14">
        <f t="shared" si="2"/>
        <v>7</v>
      </c>
      <c r="G14">
        <f t="shared" si="2"/>
        <v>15</v>
      </c>
      <c r="H14">
        <f t="shared" si="2"/>
        <v>30</v>
      </c>
      <c r="I14">
        <f t="shared" si="2"/>
        <v>61</v>
      </c>
      <c r="J14">
        <f t="shared" si="2"/>
        <v>123</v>
      </c>
      <c r="K14">
        <f>INT(B14/2)</f>
        <v>247</v>
      </c>
    </row>
    <row r="15" spans="1:11" x14ac:dyDescent="0.2">
      <c r="A15" s="1" t="s">
        <v>8</v>
      </c>
      <c r="D15">
        <f t="shared" ref="D15:J15" si="3">IF(E14/2=INT(E14/2),0,1)</f>
        <v>1</v>
      </c>
      <c r="E15">
        <f t="shared" si="3"/>
        <v>1</v>
      </c>
      <c r="F15">
        <f t="shared" si="3"/>
        <v>1</v>
      </c>
      <c r="G15">
        <f t="shared" si="3"/>
        <v>0</v>
      </c>
      <c r="H15">
        <f t="shared" si="3"/>
        <v>1</v>
      </c>
      <c r="I15">
        <f t="shared" si="3"/>
        <v>1</v>
      </c>
      <c r="J15">
        <f t="shared" si="3"/>
        <v>1</v>
      </c>
      <c r="K15">
        <f>IF($B14/2=INT(B14/2),0,1)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Bianiary Conversions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A.C.W. Dale-Mohr</dc:creator>
  <cp:lastModifiedBy>Daniel</cp:lastModifiedBy>
  <dcterms:created xsi:type="dcterms:W3CDTF">2021-09-05T19:06:52Z</dcterms:created>
  <dcterms:modified xsi:type="dcterms:W3CDTF">2021-11-09T11:45:46Z</dcterms:modified>
</cp:coreProperties>
</file>